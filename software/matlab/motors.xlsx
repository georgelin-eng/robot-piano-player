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lipa\OneDrive - UBC\University\Course Materials\3rd year\ELEC 391\robot-piano-player\software\matlab\"/>
    </mc:Choice>
  </mc:AlternateContent>
  <xr:revisionPtr revIDLastSave="0" documentId="13_ncr:1_{F4D2D0F9-3948-4902-A3AA-CD0E783363AE}" xr6:coauthVersionLast="47" xr6:coauthVersionMax="47" xr10:uidLastSave="{00000000-0000-0000-0000-000000000000}"/>
  <bookViews>
    <workbookView xWindow="-110" yWindow="-110" windowWidth="19420" windowHeight="10300" xr2:uid="{3A00A6A0-CC9E-4CD9-B7FE-C8C2B9679AF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B9" i="1"/>
  <c r="C9" i="1"/>
  <c r="D7" i="1"/>
  <c r="B7" i="1"/>
</calcChain>
</file>

<file path=xl/sharedStrings.xml><?xml version="1.0" encoding="utf-8"?>
<sst xmlns="http://schemas.openxmlformats.org/spreadsheetml/2006/main" count="18" uniqueCount="18">
  <si>
    <t>Motor</t>
  </si>
  <si>
    <t>Maxon_EC90</t>
  </si>
  <si>
    <t>I_NL (mA)</t>
  </si>
  <si>
    <t>Jm (gcm^2)</t>
  </si>
  <si>
    <t>Km (mNm/A)</t>
  </si>
  <si>
    <t>Lw (mH)</t>
  </si>
  <si>
    <t>Rw (Ohm)</t>
  </si>
  <si>
    <t>rpm_NL (rpm)</t>
  </si>
  <si>
    <t>Maxon_RE65</t>
  </si>
  <si>
    <t>Maxon_RE50</t>
  </si>
  <si>
    <t>Maxon_ECi40</t>
  </si>
  <si>
    <t>https://ca.robotshop.com/products/e-s-motor-60d-brushed-planetary-gear-motor-with-encoder-24v-800rpm?qd=67fa275660c08a525e76e18f421eb9a9</t>
  </si>
  <si>
    <t>https://ca.robotshop.com/products/e-s-motor-60d-brushed-planetary-gear-motor-with-encoder-24v-2820rpm?qd=67fa275660c08a525e76e18f421eb9a9</t>
  </si>
  <si>
    <t>https://ca.robotshop.com/products/e-s-motor-555-size-dc-motor-with-encoder-24v-16000-rpm?qd=5f2b900c5da47b37b4e2bfa7d58352d4</t>
  </si>
  <si>
    <t>Link</t>
  </si>
  <si>
    <t>60PG-997-4.25-EN</t>
  </si>
  <si>
    <t>https://datasheet4u.com/pdf-down/N/E/M/NEMA17-Servotronix.pdf</t>
  </si>
  <si>
    <t>NEMA17S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</si>
</sst>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ca.robotshop.com/products/e-s-motor-60d-brushed-planetary-gear-motor-with-encoder-24v-2820rpm?qd=67fa275660c08a525e76e18f421eb9a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A19DF-95F4-4146-B9C9-3E67B92D887F}">
  <dimension ref="A1:H9"/>
  <sheetViews>
    <sheetView tabSelected="1" workbookViewId="0">
      <selection activeCell="G11" sqref="G11"/>
    </sheetView>
  </sheetViews>
  <sheetFormatPr defaultRowHeight="14.5" x14ac:dyDescent="0.35"/>
  <cols>
    <col min="1" max="1" width="15.453125" customWidth="1"/>
    <col min="5" max="5" width="10.54296875" customWidth="1"/>
    <col min="6" max="6" width="11.81640625" customWidth="1"/>
  </cols>
  <sheetData>
    <row r="1" spans="1:8" x14ac:dyDescent="0.35">
      <c r="A1" t="s">
        <v>0</v>
      </c>
      <c r="B1" t="s">
        <v>6</v>
      </c>
      <c r="C1" t="s">
        <v>5</v>
      </c>
      <c r="D1" t="s">
        <v>4</v>
      </c>
      <c r="E1" t="s">
        <v>3</v>
      </c>
      <c r="F1" t="s">
        <v>7</v>
      </c>
      <c r="G1" t="s">
        <v>2</v>
      </c>
      <c r="H1" t="s">
        <v>14</v>
      </c>
    </row>
    <row r="2" spans="1:8" x14ac:dyDescent="0.35">
      <c r="A2" t="s">
        <v>1</v>
      </c>
      <c r="B2">
        <v>0.34300000000000003</v>
      </c>
      <c r="C2">
        <v>0.26400000000000001</v>
      </c>
      <c r="D2">
        <v>70.5</v>
      </c>
      <c r="E2">
        <v>3060</v>
      </c>
      <c r="F2">
        <v>3190</v>
      </c>
      <c r="G2">
        <v>544</v>
      </c>
    </row>
    <row r="3" spans="1:8" x14ac:dyDescent="0.35">
      <c r="A3" t="s">
        <v>8</v>
      </c>
      <c r="B3">
        <v>8.2100000000000006E-2</v>
      </c>
      <c r="C3">
        <v>3.1E-2</v>
      </c>
      <c r="D3">
        <v>53.7</v>
      </c>
      <c r="E3">
        <v>1290</v>
      </c>
      <c r="F3">
        <v>4090</v>
      </c>
      <c r="G3">
        <v>697</v>
      </c>
    </row>
    <row r="4" spans="1:8" x14ac:dyDescent="0.35">
      <c r="A4" t="s">
        <v>9</v>
      </c>
      <c r="B4">
        <v>0.10299999999999999</v>
      </c>
      <c r="C4">
        <v>7.1999999999999995E-2</v>
      </c>
      <c r="D4">
        <v>38.5</v>
      </c>
      <c r="E4">
        <v>536</v>
      </c>
      <c r="F4">
        <v>5950</v>
      </c>
      <c r="G4">
        <v>236</v>
      </c>
    </row>
    <row r="5" spans="1:8" x14ac:dyDescent="0.35">
      <c r="A5" t="s">
        <v>10</v>
      </c>
      <c r="B5">
        <v>0.19500000000000001</v>
      </c>
      <c r="C5">
        <v>0.128</v>
      </c>
      <c r="D5">
        <v>36.4</v>
      </c>
      <c r="E5">
        <v>78</v>
      </c>
      <c r="F5">
        <v>4670</v>
      </c>
      <c r="G5">
        <v>496</v>
      </c>
    </row>
    <row r="6" spans="1:8" x14ac:dyDescent="0.35">
      <c r="H6" t="s">
        <v>11</v>
      </c>
    </row>
    <row r="7" spans="1:8" x14ac:dyDescent="0.35">
      <c r="A7" t="s">
        <v>15</v>
      </c>
      <c r="B7">
        <f>24/20</f>
        <v>1.2</v>
      </c>
      <c r="C7" s="2">
        <v>0.2</v>
      </c>
      <c r="D7" s="1">
        <f>0.3/12*1000</f>
        <v>24.999999999999996</v>
      </c>
      <c r="E7" s="2">
        <v>2200</v>
      </c>
      <c r="F7">
        <v>12000</v>
      </c>
      <c r="G7">
        <v>1600</v>
      </c>
      <c r="H7" s="3" t="s">
        <v>12</v>
      </c>
    </row>
    <row r="8" spans="1:8" x14ac:dyDescent="0.35">
      <c r="H8" t="s">
        <v>13</v>
      </c>
    </row>
    <row r="9" spans="1:8" x14ac:dyDescent="0.35">
      <c r="A9" t="s">
        <v>17</v>
      </c>
      <c r="B9">
        <f>6/(1.8^2)</f>
        <v>1.8518518518518516</v>
      </c>
      <c r="C9">
        <f>C5</f>
        <v>0.128</v>
      </c>
      <c r="D9">
        <f>0.3/1.8*1000</f>
        <v>166.66666666666666</v>
      </c>
      <c r="E9">
        <v>57</v>
      </c>
      <c r="F9">
        <v>12000</v>
      </c>
      <c r="G9">
        <v>1600</v>
      </c>
      <c r="H9" t="s">
        <v>16</v>
      </c>
    </row>
  </sheetData>
  <hyperlinks>
    <hyperlink ref="H7" r:id="rId1" xr:uid="{A8D4DA74-31D2-4D8D-ABB1-19E58F228A4D}"/>
  </hyperlinks>
  <pageMargins left="0.7" right="0.7" top="0.75" bottom="0.75" header="0.3" footer="0.3"/>
  <pageSetup paperSize="256" orientation="landscape" horizontalDpi="500" verticalDpi="500" copies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glin05@student.ubc.ca</dc:creator>
  <cp:lastModifiedBy>glin05@student.ubc.ca</cp:lastModifiedBy>
  <dcterms:created xsi:type="dcterms:W3CDTF">2026-01-10T23:27:39Z</dcterms:created>
  <dcterms:modified xsi:type="dcterms:W3CDTF">2026-01-17T00:38:21Z</dcterms:modified>
</cp:coreProperties>
</file>