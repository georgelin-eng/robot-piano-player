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ipa\OneDrive - UBC\University\Course Materials\3rd year\ELEC 391\robot-piano-player\software\matlab\"/>
    </mc:Choice>
  </mc:AlternateContent>
  <xr:revisionPtr revIDLastSave="0" documentId="13_ncr:1_{EE89466E-93C5-4D2E-9B74-BAB046AC2A0B}" xr6:coauthVersionLast="47" xr6:coauthVersionMax="47" xr10:uidLastSave="{00000000-0000-0000-0000-000000000000}"/>
  <bookViews>
    <workbookView xWindow="-110" yWindow="-110" windowWidth="19420" windowHeight="10300" xr2:uid="{3A00A6A0-CC9E-4CD9-B7FE-C8C2B9679A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D5" i="1"/>
  <c r="B2" i="1"/>
  <c r="B3" i="1"/>
  <c r="B4" i="1"/>
  <c r="D3" i="1"/>
  <c r="D2" i="1"/>
  <c r="D4" i="1"/>
</calcChain>
</file>

<file path=xl/sharedStrings.xml><?xml version="1.0" encoding="utf-8"?>
<sst xmlns="http://schemas.openxmlformats.org/spreadsheetml/2006/main" count="19" uniqueCount="19">
  <si>
    <t>Motor</t>
  </si>
  <si>
    <t>I_NL (mA)</t>
  </si>
  <si>
    <t>Jm (gcm^2)</t>
  </si>
  <si>
    <t>Km (mNm/A)</t>
  </si>
  <si>
    <t>Lw (mH)</t>
  </si>
  <si>
    <t>Rw (Ohm)</t>
  </si>
  <si>
    <t>rpm_NL (rpm)</t>
  </si>
  <si>
    <t>https://ca.robotshop.com/products/e-s-motor-60d-brushed-planetary-gear-motor-with-encoder-24v-2820rpm?qd=67fa275660c08a525e76e18f421eb9a9</t>
  </si>
  <si>
    <t>https://ca.robotshop.com/products/e-s-motor-555-size-dc-motor-with-encoder-24v-16000-rpm?qd=5f2b900c5da47b37b4e2bfa7d58352d4</t>
  </si>
  <si>
    <t>Link</t>
  </si>
  <si>
    <t>60PG-997-4.25-EN</t>
  </si>
  <si>
    <t>Gearbox Ratio</t>
  </si>
  <si>
    <t>Stall Current (A)</t>
  </si>
  <si>
    <t>RS555-EN</t>
  </si>
  <si>
    <t>60PG-6055ZY</t>
  </si>
  <si>
    <t>https://ca.robotshop.com/products/e-s-motor-60d-planetary-gear-motor-with-high-torque-and-compact-size-24v-1660rpm?qd=650ebc719b16f099bd5f5e09cc852c24</t>
  </si>
  <si>
    <t>Stall Torque (Nm)</t>
  </si>
  <si>
    <t>Polulu37D_64CPR</t>
  </si>
  <si>
    <t>https://www.pololu.com/product/4690/specs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</si>
</sst>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sz val="11"/>
      <color rgb="FFFF0000"/>
      <name val="Arial"/>
      <family val="2"/>
    </font>
    <font>
      <u/>
      <sz val="11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1" xfId="0" applyFont="1" applyBorder="1" applyAlignment="1">
      <alignment horizontal="right" wrapText="1"/>
    </xf>
    <xf numFmtId="0" fontId="3" fillId="0" borderId="0" xfId="0" applyFont="1"/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3" fillId="0" borderId="0" xfId="0" applyFont="1" applyAlignment="1">
      <alignment vertical="center"/>
    </xf>
    <xf numFmtId="0" fontId="5" fillId="0" borderId="1" xfId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.robotshop.com/products/e-s-motor-60d-planetary-gear-motor-with-high-torque-and-compact-size-24v-1660rpm?qd=650ebc719b16f099bd5f5e09cc852c24" TargetMode="External"/><Relationship Id="rId2" Type="http://schemas.openxmlformats.org/officeDocument/2006/relationships/hyperlink" Target="https://ca.robotshop.com/products/e-s-motor-555-size-dc-motor-with-encoder-24v-16000-rpm?qd=5f2b900c5da47b37b4e2bfa7d58352d4" TargetMode="External"/><Relationship Id="rId1" Type="http://schemas.openxmlformats.org/officeDocument/2006/relationships/hyperlink" Target="https://ca.robotshop.com/products/e-s-motor-60d-brushed-planetary-gear-motor-with-encoder-24v-2820rpm?qd=67fa275660c08a525e76e18f421eb9a9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pololu.com/product/4690/spe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19DF-95F4-4146-B9C9-3E67B92D887F}">
  <dimension ref="A1:L7"/>
  <sheetViews>
    <sheetView tabSelected="1" workbookViewId="0">
      <selection activeCell="E6" sqref="E6"/>
    </sheetView>
  </sheetViews>
  <sheetFormatPr defaultRowHeight="14.5" x14ac:dyDescent="0.35"/>
  <cols>
    <col min="1" max="1" width="26" customWidth="1"/>
    <col min="2" max="2" width="12.26953125" bestFit="1" customWidth="1"/>
    <col min="3" max="3" width="8.90625" bestFit="1" customWidth="1"/>
    <col min="4" max="4" width="12.26953125" bestFit="1" customWidth="1"/>
    <col min="5" max="5" width="10.54296875" customWidth="1"/>
    <col min="6" max="6" width="11.81640625" customWidth="1"/>
    <col min="7" max="8" width="8.90625" bestFit="1" customWidth="1"/>
    <col min="9" max="9" width="17.08984375" customWidth="1"/>
    <col min="10" max="10" width="8.90625" bestFit="1" customWidth="1"/>
  </cols>
  <sheetData>
    <row r="1" spans="1:12" ht="43" thickBot="1" x14ac:dyDescent="0.4">
      <c r="A1" s="6" t="s">
        <v>0</v>
      </c>
      <c r="B1" s="6" t="s">
        <v>5</v>
      </c>
      <c r="C1" s="6" t="s">
        <v>4</v>
      </c>
      <c r="D1" s="6" t="s">
        <v>3</v>
      </c>
      <c r="E1" s="6" t="s">
        <v>2</v>
      </c>
      <c r="F1" s="6" t="s">
        <v>6</v>
      </c>
      <c r="G1" s="6" t="s">
        <v>1</v>
      </c>
      <c r="H1" s="6" t="s">
        <v>11</v>
      </c>
      <c r="I1" s="8" t="s">
        <v>16</v>
      </c>
      <c r="J1" s="6" t="s">
        <v>12</v>
      </c>
      <c r="K1" s="6" t="s">
        <v>9</v>
      </c>
      <c r="L1" s="5"/>
    </row>
    <row r="2" spans="1:12" ht="15" thickBot="1" x14ac:dyDescent="0.4">
      <c r="A2" s="6" t="s">
        <v>10</v>
      </c>
      <c r="B2" s="4">
        <f>24/J2</f>
        <v>1.2</v>
      </c>
      <c r="C2" s="7">
        <v>0.2</v>
      </c>
      <c r="D2" s="4">
        <f>I2/J2*1000</f>
        <v>17.57</v>
      </c>
      <c r="E2" s="7">
        <v>1471.4963</v>
      </c>
      <c r="F2" s="4">
        <v>12000</v>
      </c>
      <c r="G2" s="4">
        <v>1600</v>
      </c>
      <c r="H2" s="4">
        <v>3.6</v>
      </c>
      <c r="I2" s="4">
        <v>0.35139999999999999</v>
      </c>
      <c r="J2" s="4">
        <v>20</v>
      </c>
      <c r="K2" s="9" t="s">
        <v>7</v>
      </c>
      <c r="L2" s="5"/>
    </row>
    <row r="3" spans="1:12" ht="15" thickBot="1" x14ac:dyDescent="0.4">
      <c r="A3" s="6" t="s">
        <v>13</v>
      </c>
      <c r="B3" s="4">
        <f>24/J3</f>
        <v>0.64864864864864868</v>
      </c>
      <c r="C3" s="7">
        <v>0.1</v>
      </c>
      <c r="D3" s="4">
        <f>I3/J3*1000</f>
        <v>7.9540540540540547</v>
      </c>
      <c r="E3" s="7">
        <v>192.24468999999999</v>
      </c>
      <c r="F3" s="4">
        <v>16000</v>
      </c>
      <c r="G3" s="4">
        <v>500</v>
      </c>
      <c r="H3" s="4">
        <v>1</v>
      </c>
      <c r="I3" s="6">
        <v>0.29430000000000001</v>
      </c>
      <c r="J3" s="4">
        <v>37</v>
      </c>
      <c r="K3" s="9" t="s">
        <v>8</v>
      </c>
      <c r="L3" s="5"/>
    </row>
    <row r="4" spans="1:12" ht="15" thickBot="1" x14ac:dyDescent="0.4">
      <c r="A4" s="6" t="s">
        <v>14</v>
      </c>
      <c r="B4" s="4">
        <f>24/J4</f>
        <v>1.6</v>
      </c>
      <c r="C4" s="7">
        <v>0.1</v>
      </c>
      <c r="D4" s="4">
        <f>I4/J4*1000</f>
        <v>80</v>
      </c>
      <c r="E4" s="7">
        <v>1434.6000899999999</v>
      </c>
      <c r="F4" s="4">
        <v>6000</v>
      </c>
      <c r="G4" s="4">
        <v>400</v>
      </c>
      <c r="H4" s="4">
        <v>3.6</v>
      </c>
      <c r="I4" s="4">
        <v>1.2</v>
      </c>
      <c r="J4" s="4">
        <v>15</v>
      </c>
      <c r="K4" s="9" t="s">
        <v>15</v>
      </c>
      <c r="L4" s="5"/>
    </row>
    <row r="5" spans="1:12" ht="15" thickBot="1" x14ac:dyDescent="0.4">
      <c r="A5" s="6" t="s">
        <v>17</v>
      </c>
      <c r="B5" s="4">
        <v>8</v>
      </c>
      <c r="C5" s="7">
        <v>0.1</v>
      </c>
      <c r="D5" s="4">
        <f>I5/J5*1000</f>
        <v>17.984999999999999</v>
      </c>
      <c r="E5" s="7">
        <v>20</v>
      </c>
      <c r="F5" s="4">
        <v>10000</v>
      </c>
      <c r="G5" s="4">
        <f>0.07*1000</f>
        <v>70</v>
      </c>
      <c r="H5" s="4">
        <v>10</v>
      </c>
      <c r="I5" s="4">
        <v>5.3955000000000003E-2</v>
      </c>
      <c r="J5" s="4">
        <v>3</v>
      </c>
      <c r="K5" s="9" t="s">
        <v>18</v>
      </c>
      <c r="L5" s="5"/>
    </row>
    <row r="7" spans="1:12" x14ac:dyDescent="0.35">
      <c r="C7" s="2"/>
      <c r="D7" s="1"/>
      <c r="E7" s="2"/>
      <c r="H7" s="3"/>
      <c r="I7" s="3"/>
    </row>
  </sheetData>
  <hyperlinks>
    <hyperlink ref="K2" r:id="rId1" xr:uid="{48B40E40-3234-4F7D-B3C4-E06BBF351AFC}"/>
    <hyperlink ref="K3" r:id="rId2" xr:uid="{DD13CAC7-322E-410C-AD32-41E9FE412601}"/>
    <hyperlink ref="K4" r:id="rId3" xr:uid="{3CC7D07A-0A2F-4CC2-865A-61819A4FF125}"/>
    <hyperlink ref="K5" r:id="rId4" xr:uid="{2137D88B-8585-4EEF-BDA7-EECD2C901E68}"/>
  </hyperlinks>
  <pageMargins left="0.7" right="0.7" top="0.75" bottom="0.75" header="0.3" footer="0.3"/>
  <pageSetup paperSize="256" orientation="landscape" horizontalDpi="500" verticalDpi="500" copies="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glin05@student.ubc.ca</dc:creator>
  <cp:lastModifiedBy>glin05@student.ubc.ca</cp:lastModifiedBy>
  <dcterms:created xsi:type="dcterms:W3CDTF">2026-01-10T23:27:39Z</dcterms:created>
  <dcterms:modified xsi:type="dcterms:W3CDTF">2026-02-19T00:03:36Z</dcterms:modified>
</cp:coreProperties>
</file>